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表 3" sheetId="2" r:id="rId1"/>
    <sheet name="Sheet1" sheetId="1" r:id="rId2"/>
  </sheets>
  <definedNames>
    <definedName name="ExternalData_1" localSheetId="0" hidden="1">'表 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表 3" description="与工作簿中“表 3”查询的连接。" type="5" background="1" refreshedVersion="2" saveData="1">
    <dbPr connection="Provider=Microsoft.Mashup.OleDb.1;Data Source=$Workbook$;Location=&quot;表 3&quot;;Extended Properties=&quot;&quot;" command="SELECT * FROM [表 3]" commandType="2"/>
  </connection>
</connections>
</file>

<file path=xl/sharedStrings.xml><?xml version="1.0" encoding="utf-8"?>
<sst xmlns="http://schemas.openxmlformats.org/spreadsheetml/2006/main" count="132" uniqueCount="129">
  <si>
    <t>高等教育</t>
  </si>
  <si>
    <t>普通高中教育学生数</t>
  </si>
  <si>
    <t>中等职业学校（机构）学生数</t>
  </si>
  <si>
    <t>初中教育学生数</t>
  </si>
  <si>
    <t>小学教育学生数</t>
  </si>
  <si>
    <t>高中教育</t>
  </si>
  <si>
    <t>义务教育</t>
  </si>
  <si>
    <t>小学招生人数</t>
  </si>
  <si>
    <t>初中招生人数</t>
  </si>
  <si>
    <t>中专招生人数</t>
  </si>
  <si>
    <t>普高招生人数</t>
  </si>
  <si>
    <t>高等教育招生人数</t>
  </si>
  <si>
    <t>义务教育招生数</t>
  </si>
  <si>
    <t>高中教育招生数</t>
  </si>
  <si>
    <t>高等教育招生比</t>
  </si>
  <si>
    <t>义务教育招生比</t>
  </si>
  <si>
    <t>高中教育招生比</t>
  </si>
  <si>
    <t>总人口数（万）</t>
  </si>
  <si>
    <t>城镇人口/总人口</t>
  </si>
  <si>
    <t>小学生师比</t>
  </si>
  <si>
    <t>初中生师比</t>
  </si>
  <si>
    <t>17.12:1</t>
  </si>
  <si>
    <t>12.41:1</t>
  </si>
  <si>
    <t>16.98:1</t>
  </si>
  <si>
    <t>12.52:1</t>
  </si>
  <si>
    <t>16.97:1</t>
  </si>
  <si>
    <t>12.79:1</t>
  </si>
  <si>
    <t>16.85:1</t>
  </si>
  <si>
    <t>12.88:1</t>
  </si>
  <si>
    <t>16.67:1</t>
  </si>
  <si>
    <t>12.73:1</t>
  </si>
  <si>
    <t>16.33:1</t>
  </si>
  <si>
    <t>12.64:1</t>
  </si>
  <si>
    <t>16.19:1</t>
  </si>
  <si>
    <t>12.72:1</t>
  </si>
  <si>
    <t xml:space="preserve">590957	</t>
  </si>
  <si>
    <t>16.28:1</t>
  </si>
  <si>
    <t>12.84:1</t>
  </si>
  <si>
    <t>预测2024</t>
  </si>
  <si>
    <t>预测2025</t>
  </si>
  <si>
    <t>预测2026</t>
  </si>
  <si>
    <t>恩格尔系数</t>
  </si>
  <si>
    <t>出生人数</t>
  </si>
  <si>
    <t>年份</t>
  </si>
  <si>
    <t>义务教育阶段生均</t>
  </si>
  <si>
    <t>高中教育阶段生均</t>
  </si>
  <si>
    <t>普通高等学校生均</t>
  </si>
  <si>
    <t>总</t>
  </si>
  <si>
    <t>义务教育总</t>
  </si>
  <si>
    <t>高中教育总</t>
  </si>
  <si>
    <t>高等教育总</t>
  </si>
  <si>
    <t>总()</t>
  </si>
  <si>
    <t>义务教育生师比</t>
  </si>
  <si>
    <t>本科就业率</t>
  </si>
  <si>
    <t>2016 年</t>
  </si>
  <si>
    <t>(13087.73 + 3080.98) + (16878.96 + 4030.77)</t>
  </si>
  <si>
    <t>(11760.99 + 3372.95) + (22112.22 + 6866.47)</t>
  </si>
  <si>
    <t>17517.39 + 7737.82</t>
  </si>
  <si>
    <t>495.92亿</t>
  </si>
  <si>
    <t>267.4522亿</t>
  </si>
  <si>
    <t>91.5254亿</t>
  </si>
  <si>
    <t>112.5077亿</t>
  </si>
  <si>
    <t>471.4853亿</t>
  </si>
  <si>
    <t>2017 年</t>
  </si>
  <si>
    <t>(13846.91 + 3177.00) + (17746.68 + 4209.50)</t>
  </si>
  <si>
    <t>(11758.63 + 2818.22) + (25260.35 + 8105.51)</t>
  </si>
  <si>
    <t>17973.10 + 8153.47</t>
  </si>
  <si>
    <t>503.80亿</t>
  </si>
  <si>
    <t>279.8679亿</t>
  </si>
  <si>
    <t>97.4366亿</t>
  </si>
  <si>
    <t>115.7238亿</t>
  </si>
  <si>
    <t>493.0282亿</t>
  </si>
  <si>
    <t>2018 年</t>
  </si>
  <si>
    <t>(13294.23 + 3064.05) + (16965.94 + 4344.86)</t>
  </si>
  <si>
    <t>(11897.25 + 2818.22) + (24428.63 + 8083.49)</t>
  </si>
  <si>
    <t>18319.26 + 9130.99</t>
  </si>
  <si>
    <t>508.60亿</t>
  </si>
  <si>
    <t>271.8626亿</t>
  </si>
  <si>
    <t>92.5165亿</t>
  </si>
  <si>
    <t>120.6006亿</t>
  </si>
  <si>
    <t>484.9797亿</t>
  </si>
  <si>
    <t>2019 年</t>
  </si>
  <si>
    <t>(13321.06 + 2847.86) + (17058.30 + 4004.84)</t>
  </si>
  <si>
    <t>(12383.52 + 3151.90) + (24098.09 + 8157.96)</t>
  </si>
  <si>
    <t>18200.64 + 9353.70</t>
  </si>
  <si>
    <t>497.16亿</t>
  </si>
  <si>
    <t>269.5978亿</t>
  </si>
  <si>
    <t>94.8163亿</t>
  </si>
  <si>
    <t>127.4309亿</t>
  </si>
  <si>
    <t>491.8450亿</t>
  </si>
  <si>
    <t>2020 年</t>
  </si>
  <si>
    <t>(14703.03 + 3211.73) + (18488.92 + 4659.74)</t>
  </si>
  <si>
    <t>(13834.65 + 4444.58) + (23239.53 + 7273.13)</t>
  </si>
  <si>
    <t>15816.35 + 7836.04</t>
  </si>
  <si>
    <t>522.58亿</t>
  </si>
  <si>
    <t>289.6829亿</t>
  </si>
  <si>
    <t>103.3552亿</t>
  </si>
  <si>
    <t>114.9781亿</t>
  </si>
  <si>
    <t>508.0162亿</t>
  </si>
  <si>
    <t>2021 年</t>
  </si>
  <si>
    <t>(14847.02 + 3221.20) + (19210.81 + 4669.67)</t>
  </si>
  <si>
    <t>(12935.29 + 3277.89) + (22389.70 + 6990.65)</t>
  </si>
  <si>
    <t>16206.38 + 8378.53</t>
  </si>
  <si>
    <t>483.95亿</t>
  </si>
  <si>
    <t>286.3879亿</t>
  </si>
  <si>
    <t>104.5238亿</t>
  </si>
  <si>
    <t>122.4476亿</t>
  </si>
  <si>
    <t>513.3593亿</t>
  </si>
  <si>
    <t>2022 年</t>
  </si>
  <si>
    <t>(14452.71 + 2646.09) + (18506.56 + 3848.82)</t>
  </si>
  <si>
    <t>(12857.43 + 3310.09) + (21522.46 + 6577.32)</t>
  </si>
  <si>
    <t>17003.59 + 8909.86</t>
  </si>
  <si>
    <t>503.83亿</t>
  </si>
  <si>
    <t>270.2604亿</t>
  </si>
  <si>
    <t>103.4368亿</t>
  </si>
  <si>
    <t>120.7671亿</t>
  </si>
  <si>
    <t>494.4644亿</t>
  </si>
  <si>
    <t>2023 年</t>
  </si>
  <si>
    <t>(15294.07 + 2822.88) + (19446.84 + 4467.14)</t>
  </si>
  <si>
    <t>(13474.59 + 3572.64) + (22943.97 + 7460.20)</t>
  </si>
  <si>
    <t>17485.40 + 9500.50</t>
  </si>
  <si>
    <t>527.90亿</t>
  </si>
  <si>
    <t>282.4349亿</t>
  </si>
  <si>
    <t>103.7186亿</t>
  </si>
  <si>
    <t>125.1818亿</t>
  </si>
  <si>
    <t>511.3354亿</t>
  </si>
  <si>
    <t>线性回归系数k</t>
  </si>
  <si>
    <t>线性回归系数b</t>
  </si>
  <si>
    <t>相关系数r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</si>
</sst>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8"/>
      <color rgb="FF4B4B4B"/>
      <name val="微软雅黑"/>
      <charset val="134"/>
    </font>
    <font>
      <sz val="11"/>
      <color rgb="FF000000"/>
      <name val="Times New Roman"/>
      <charset val="134"/>
    </font>
    <font>
      <sz val="11"/>
      <color rgb="FF000000"/>
      <name val="微软雅黑"/>
      <charset val="134"/>
    </font>
    <font>
      <sz val="11"/>
      <color rgb="FF4B4B4B"/>
      <name val="Times New Roman"/>
      <charset val="134"/>
    </font>
    <font>
      <sz val="11"/>
      <color rgb="FF000000"/>
      <name val="宋体"/>
      <charset val="134"/>
    </font>
    <font>
      <sz val="11"/>
      <color rgb="FF000000"/>
      <name val="等线"/>
      <charset val="134"/>
      <scheme val="minor"/>
    </font>
    <font>
      <sz val="11"/>
      <color rgb="FF808080"/>
      <name val="宋体"/>
      <charset val="134"/>
    </font>
    <font>
      <sz val="11"/>
      <color rgb="FF808080"/>
      <name val="Arial"/>
      <charset val="134"/>
    </font>
    <font>
      <sz val="11"/>
      <color rgb="FF4B4B4B"/>
      <name val="微软雅黑"/>
      <charset val="134"/>
    </font>
    <font>
      <sz val="1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2" borderId="1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6" fillId="0" borderId="2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6" fillId="0" borderId="0" xfId="0" applyFont="1" applyAlignment="1"/>
    <xf numFmtId="0" fontId="6" fillId="0" borderId="3" xfId="0" applyFont="1" applyBorder="1" applyAlignment="1">
      <alignment vertical="center" wrapText="1"/>
    </xf>
    <xf numFmtId="0" fontId="9" fillId="0" borderId="0" xfId="0" applyFont="1">
      <alignment vertical="center"/>
    </xf>
    <xf numFmtId="0" fontId="10" fillId="2" borderId="0" xfId="0" applyFont="1" applyFill="1" applyAlignment="1">
      <alignment horizontal="right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tabSelected="1" zoomScale="115" zoomScaleNormal="115" topLeftCell="J6" workbookViewId="0">
      <selection activeCell="S17" sqref="S17"/>
    </sheetView>
  </sheetViews>
  <sheetFormatPr defaultColWidth="9" defaultRowHeight="13.85"/>
  <cols>
    <col min="1" max="1" width="8.66371681415929" customWidth="1"/>
    <col min="8" max="8" width="13.5309734513274" customWidth="1"/>
    <col min="9" max="9" width="42.3362831858407" customWidth="1"/>
    <col min="10" max="10" width="39.6017699115044" customWidth="1"/>
    <col min="11" max="11" width="18.3362831858407" customWidth="1"/>
    <col min="13" max="13" width="14" customWidth="1"/>
    <col min="14" max="15" width="12.3982300884956" customWidth="1"/>
    <col min="16" max="16" width="14.2654867256637" customWidth="1"/>
    <col min="17" max="17" width="11.2035398230088" customWidth="1"/>
    <col min="21" max="21" width="16.7345132743363" customWidth="1"/>
    <col min="22" max="22" width="13.5309734513274" customWidth="1"/>
    <col min="23" max="23" width="12.929203539823" customWidth="1"/>
  </cols>
  <sheetData>
    <row r="1" ht="33.75" spans="2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0">
      <c r="A2">
        <v>2013</v>
      </c>
      <c r="B2" s="2">
        <v>599526</v>
      </c>
      <c r="C2" s="2">
        <v>192672</v>
      </c>
      <c r="D2" s="2">
        <v>192672</v>
      </c>
      <c r="E2" s="2">
        <v>644993</v>
      </c>
      <c r="F2" s="2">
        <v>1361868</v>
      </c>
      <c r="G2">
        <f t="shared" ref="G2:G12" si="0">SUM(C2:D2)</f>
        <v>385344</v>
      </c>
      <c r="H2">
        <f t="shared" ref="H2:H11" si="1">SUM(E2:F2)</f>
        <v>2006861</v>
      </c>
      <c r="I2" s="2">
        <v>217645</v>
      </c>
      <c r="J2" s="2">
        <v>218370</v>
      </c>
      <c r="K2" s="2">
        <v>61055</v>
      </c>
      <c r="L2" s="2">
        <v>151131</v>
      </c>
      <c r="M2" s="2">
        <v>166248</v>
      </c>
      <c r="N2">
        <f t="shared" ref="N2:N8" si="2">SUM(I2:J2)</f>
        <v>436015</v>
      </c>
      <c r="O2">
        <f>SUM(K2:L2)</f>
        <v>212186</v>
      </c>
      <c r="P2" s="2">
        <v>0.49</v>
      </c>
      <c r="S2" s="2">
        <v>2668.1</v>
      </c>
      <c r="T2" s="2">
        <v>55.7</v>
      </c>
    </row>
    <row r="3" ht="15" spans="1:20">
      <c r="A3">
        <v>2014</v>
      </c>
      <c r="B3" s="2">
        <v>618273</v>
      </c>
      <c r="C3" s="3">
        <v>415736</v>
      </c>
      <c r="D3" s="3">
        <v>150044</v>
      </c>
      <c r="E3" s="2">
        <v>622883</v>
      </c>
      <c r="F3" s="2">
        <v>1268804</v>
      </c>
      <c r="G3">
        <f t="shared" si="0"/>
        <v>565780</v>
      </c>
      <c r="H3">
        <f t="shared" si="1"/>
        <v>1891687</v>
      </c>
      <c r="I3" s="2">
        <v>190001</v>
      </c>
      <c r="J3" s="2">
        <v>209897</v>
      </c>
      <c r="K3" s="3">
        <v>43508</v>
      </c>
      <c r="L3" s="3">
        <v>132338</v>
      </c>
      <c r="M3" s="2">
        <v>168940</v>
      </c>
      <c r="N3">
        <f t="shared" si="2"/>
        <v>399898</v>
      </c>
      <c r="O3">
        <f>SUM(K3:L3)</f>
        <v>175846</v>
      </c>
      <c r="P3">
        <v>0.51</v>
      </c>
      <c r="S3" s="16">
        <v>2641.9</v>
      </c>
      <c r="T3" s="16">
        <v>56.8</v>
      </c>
    </row>
    <row r="4" spans="1:20">
      <c r="A4">
        <v>2015</v>
      </c>
      <c r="B4" s="2">
        <v>632723</v>
      </c>
      <c r="C4" s="2">
        <v>406263</v>
      </c>
      <c r="D4" s="2">
        <v>134237</v>
      </c>
      <c r="E4" s="2">
        <v>595518</v>
      </c>
      <c r="F4" s="2">
        <v>1279766</v>
      </c>
      <c r="G4">
        <f t="shared" si="0"/>
        <v>540500</v>
      </c>
      <c r="H4">
        <f t="shared" si="1"/>
        <v>1875284</v>
      </c>
      <c r="I4" s="2">
        <v>206046</v>
      </c>
      <c r="J4" s="2">
        <v>181172</v>
      </c>
      <c r="K4" s="2">
        <v>45498</v>
      </c>
      <c r="L4" s="2">
        <v>135162</v>
      </c>
      <c r="M4" s="2">
        <v>170014</v>
      </c>
      <c r="N4">
        <f t="shared" si="2"/>
        <v>387218</v>
      </c>
      <c r="O4">
        <f>SUM(K4:L4)</f>
        <v>180660</v>
      </c>
      <c r="P4" s="2">
        <v>0.53</v>
      </c>
      <c r="S4" s="2">
        <v>2612.5</v>
      </c>
      <c r="T4" s="2">
        <v>57.6</v>
      </c>
    </row>
    <row r="5" ht="15" spans="1:22">
      <c r="A5">
        <v>2016</v>
      </c>
      <c r="B5" s="2">
        <v>642263</v>
      </c>
      <c r="C5" s="2">
        <v>404209</v>
      </c>
      <c r="D5" s="2">
        <v>129856</v>
      </c>
      <c r="E5" s="2">
        <v>604277</v>
      </c>
      <c r="F5" s="2">
        <v>1264211</v>
      </c>
      <c r="G5">
        <f t="shared" si="0"/>
        <v>534065</v>
      </c>
      <c r="H5">
        <f t="shared" si="1"/>
        <v>1868488</v>
      </c>
      <c r="I5" s="2">
        <v>204937</v>
      </c>
      <c r="J5" s="2">
        <v>217027</v>
      </c>
      <c r="K5" s="2">
        <v>46958</v>
      </c>
      <c r="L5" s="2">
        <v>139534</v>
      </c>
      <c r="M5" s="2">
        <v>173218</v>
      </c>
      <c r="N5">
        <f t="shared" si="2"/>
        <v>421964</v>
      </c>
      <c r="O5">
        <f>SUM(K5:L5)</f>
        <v>186492</v>
      </c>
      <c r="P5" s="2">
        <v>0.55</v>
      </c>
      <c r="S5" s="2">
        <v>2567</v>
      </c>
      <c r="T5" s="2">
        <v>58.8</v>
      </c>
      <c r="U5" s="15" t="s">
        <v>21</v>
      </c>
      <c r="V5" s="15" t="s">
        <v>22</v>
      </c>
    </row>
    <row r="6" ht="15" spans="1:22">
      <c r="A6">
        <v>2017</v>
      </c>
      <c r="B6" s="2">
        <v>643872</v>
      </c>
      <c r="C6" s="2">
        <v>413783</v>
      </c>
      <c r="D6" s="2">
        <v>131774</v>
      </c>
      <c r="E6" s="2">
        <v>618704</v>
      </c>
      <c r="F6" s="2">
        <v>1228205</v>
      </c>
      <c r="G6">
        <f t="shared" si="0"/>
        <v>545557</v>
      </c>
      <c r="H6">
        <f t="shared" si="1"/>
        <v>1846909</v>
      </c>
      <c r="I6" s="2">
        <v>189407</v>
      </c>
      <c r="J6" s="2">
        <v>221942</v>
      </c>
      <c r="K6" s="2">
        <v>44566</v>
      </c>
      <c r="L6" s="2">
        <v>141705</v>
      </c>
      <c r="M6" s="2">
        <v>171239</v>
      </c>
      <c r="N6">
        <f t="shared" si="2"/>
        <v>411349</v>
      </c>
      <c r="O6">
        <f>SUM(K6:L6)</f>
        <v>186271</v>
      </c>
      <c r="P6" s="2">
        <v>0.6</v>
      </c>
      <c r="S6" s="2">
        <v>2526.1</v>
      </c>
      <c r="T6" s="2">
        <v>59.7</v>
      </c>
      <c r="U6" s="15" t="s">
        <v>23</v>
      </c>
      <c r="V6" s="15" t="s">
        <v>24</v>
      </c>
    </row>
    <row r="7" ht="15" spans="1:22">
      <c r="A7">
        <v>2018</v>
      </c>
      <c r="B7" s="2">
        <v>658327</v>
      </c>
      <c r="C7" s="2">
        <v>408494</v>
      </c>
      <c r="D7" s="2">
        <v>120897</v>
      </c>
      <c r="E7" s="2">
        <v>660635</v>
      </c>
      <c r="F7" s="2">
        <v>1201872</v>
      </c>
      <c r="G7">
        <f t="shared" si="0"/>
        <v>529391</v>
      </c>
      <c r="H7">
        <f t="shared" si="1"/>
        <v>1862507</v>
      </c>
      <c r="I7" s="2">
        <v>201272</v>
      </c>
      <c r="J7" s="2">
        <v>224225</v>
      </c>
      <c r="K7" s="2">
        <v>35090</v>
      </c>
      <c r="L7" s="2">
        <v>129106</v>
      </c>
      <c r="M7" s="2">
        <v>175543</v>
      </c>
      <c r="N7">
        <f t="shared" si="2"/>
        <v>425497</v>
      </c>
      <c r="O7">
        <f>SUM(K8:L8)</f>
        <v>193277</v>
      </c>
      <c r="P7" s="2">
        <v>0.64</v>
      </c>
      <c r="S7" s="2">
        <v>2484.4</v>
      </c>
      <c r="T7" s="2">
        <v>60.9</v>
      </c>
      <c r="U7" s="15" t="s">
        <v>25</v>
      </c>
      <c r="V7" s="15" t="s">
        <v>26</v>
      </c>
    </row>
    <row r="8" ht="15" spans="1:22">
      <c r="A8">
        <v>2019</v>
      </c>
      <c r="B8" s="2">
        <v>700145</v>
      </c>
      <c r="C8" s="2">
        <v>418443</v>
      </c>
      <c r="D8" s="2">
        <v>117863</v>
      </c>
      <c r="E8" s="2">
        <v>654524</v>
      </c>
      <c r="F8" s="2">
        <v>1185695</v>
      </c>
      <c r="G8">
        <f t="shared" si="0"/>
        <v>536306</v>
      </c>
      <c r="H8">
        <f t="shared" si="1"/>
        <v>1840219</v>
      </c>
      <c r="I8" s="2">
        <v>196696</v>
      </c>
      <c r="J8" s="2">
        <v>210064</v>
      </c>
      <c r="K8" s="2">
        <v>43755</v>
      </c>
      <c r="L8" s="2">
        <v>149522</v>
      </c>
      <c r="M8" s="2">
        <v>203888</v>
      </c>
      <c r="N8">
        <f t="shared" si="2"/>
        <v>406760</v>
      </c>
      <c r="O8">
        <f>SUM(K8:L8)</f>
        <v>193277</v>
      </c>
      <c r="P8" s="2">
        <v>0.86</v>
      </c>
      <c r="S8" s="16">
        <v>2447.5</v>
      </c>
      <c r="T8" s="2">
        <v>61.6</v>
      </c>
      <c r="U8" s="15" t="s">
        <v>27</v>
      </c>
      <c r="V8" s="15" t="s">
        <v>28</v>
      </c>
    </row>
    <row r="9" ht="15" spans="1:22">
      <c r="A9">
        <v>2020</v>
      </c>
      <c r="B9" s="4">
        <v>726957</v>
      </c>
      <c r="C9" s="4">
        <v>428406</v>
      </c>
      <c r="D9" s="4">
        <v>118915</v>
      </c>
      <c r="E9" s="4">
        <v>622419</v>
      </c>
      <c r="F9" s="4">
        <v>1187540</v>
      </c>
      <c r="G9">
        <f t="shared" si="0"/>
        <v>547321</v>
      </c>
      <c r="H9">
        <f t="shared" si="1"/>
        <v>1809959</v>
      </c>
      <c r="I9" s="4">
        <v>190858</v>
      </c>
      <c r="J9" s="4">
        <v>188411</v>
      </c>
      <c r="K9" s="4">
        <v>44765</v>
      </c>
      <c r="L9" s="4">
        <v>151566</v>
      </c>
      <c r="M9" s="4">
        <v>189064</v>
      </c>
      <c r="N9">
        <f>SUM(J9:K9)</f>
        <v>233176</v>
      </c>
      <c r="O9">
        <f>SUM(K9:L9)</f>
        <v>196331</v>
      </c>
      <c r="P9" s="2">
        <v>0.84</v>
      </c>
      <c r="S9" s="2">
        <v>2399.4</v>
      </c>
      <c r="T9" s="2">
        <v>62.6</v>
      </c>
      <c r="U9" s="15" t="s">
        <v>29</v>
      </c>
      <c r="V9" s="15" t="s">
        <v>30</v>
      </c>
    </row>
    <row r="10" ht="15" spans="1:22">
      <c r="A10">
        <v>2021</v>
      </c>
      <c r="B10" s="5">
        <v>755552</v>
      </c>
      <c r="C10" s="5">
        <v>450088</v>
      </c>
      <c r="D10" s="5">
        <v>131079</v>
      </c>
      <c r="E10" s="5">
        <v>601187</v>
      </c>
      <c r="F10" s="5">
        <v>1151039</v>
      </c>
      <c r="G10">
        <f t="shared" si="0"/>
        <v>581167</v>
      </c>
      <c r="H10">
        <f t="shared" si="1"/>
        <v>1752226</v>
      </c>
      <c r="I10" s="5">
        <v>170160</v>
      </c>
      <c r="J10" s="5">
        <v>201841</v>
      </c>
      <c r="K10" s="5">
        <v>48777</v>
      </c>
      <c r="L10" s="5">
        <v>150919</v>
      </c>
      <c r="M10">
        <v>206308</v>
      </c>
      <c r="N10">
        <f>SUM(I10:J10)</f>
        <v>372001</v>
      </c>
      <c r="O10">
        <f>SUM(K10:L10)</f>
        <v>199696</v>
      </c>
      <c r="S10" s="2">
        <v>2375.4</v>
      </c>
      <c r="T10" s="2">
        <v>63.4</v>
      </c>
      <c r="U10" s="15" t="s">
        <v>31</v>
      </c>
      <c r="V10" s="15" t="s">
        <v>32</v>
      </c>
    </row>
    <row r="11" ht="15" spans="1:22">
      <c r="A11">
        <v>2022</v>
      </c>
      <c r="B11" s="5">
        <v>710245</v>
      </c>
      <c r="C11" s="5">
        <v>449767</v>
      </c>
      <c r="D11" s="6">
        <v>132660</v>
      </c>
      <c r="E11" s="5">
        <v>592175</v>
      </c>
      <c r="F11" s="5">
        <v>1111689</v>
      </c>
      <c r="G11">
        <f t="shared" si="0"/>
        <v>582427</v>
      </c>
      <c r="H11">
        <f t="shared" si="1"/>
        <v>1703864</v>
      </c>
      <c r="I11" s="5">
        <v>164282</v>
      </c>
      <c r="J11" s="5">
        <v>201034</v>
      </c>
      <c r="K11" s="6">
        <v>45857</v>
      </c>
      <c r="L11" s="5">
        <v>148060</v>
      </c>
      <c r="M11">
        <v>222706</v>
      </c>
      <c r="N11">
        <f>SUM(I11:J11)</f>
        <v>365316</v>
      </c>
      <c r="O11">
        <f>SUM(K11:L11)</f>
        <v>193917</v>
      </c>
      <c r="S11" s="16">
        <v>2347.7</v>
      </c>
      <c r="T11" s="16">
        <v>63.7</v>
      </c>
      <c r="U11" s="15" t="s">
        <v>33</v>
      </c>
      <c r="V11" s="15" t="s">
        <v>34</v>
      </c>
    </row>
    <row r="12" ht="15" spans="1:22">
      <c r="A12">
        <v>2023</v>
      </c>
      <c r="B12" s="5">
        <v>715922</v>
      </c>
      <c r="C12" s="7">
        <v>436985</v>
      </c>
      <c r="D12" s="6">
        <v>123115</v>
      </c>
      <c r="E12" s="7" t="s">
        <v>35</v>
      </c>
      <c r="F12" s="5">
        <v>1095277</v>
      </c>
      <c r="G12" s="7">
        <f t="shared" si="0"/>
        <v>560100</v>
      </c>
      <c r="H12">
        <v>1686234</v>
      </c>
      <c r="I12" s="5">
        <v>172337</v>
      </c>
      <c r="J12" s="5">
        <v>186575</v>
      </c>
      <c r="K12" s="6">
        <v>35641</v>
      </c>
      <c r="L12" s="5">
        <v>138568</v>
      </c>
      <c r="M12" s="6">
        <v>212078</v>
      </c>
      <c r="N12">
        <f>SUM(I12:J12)</f>
        <v>358912</v>
      </c>
      <c r="O12">
        <f>SUM(K12:L12)</f>
        <v>174209</v>
      </c>
      <c r="S12" s="2">
        <v>2339.4</v>
      </c>
      <c r="T12" s="2">
        <v>64.7</v>
      </c>
      <c r="U12" s="15" t="s">
        <v>36</v>
      </c>
      <c r="V12" s="15" t="s">
        <v>37</v>
      </c>
    </row>
    <row r="13" spans="1:21">
      <c r="A13" t="s">
        <v>38</v>
      </c>
      <c r="B13" s="5">
        <v>724004</v>
      </c>
      <c r="C13" s="8"/>
      <c r="D13" s="6"/>
      <c r="E13" s="8"/>
      <c r="F13" s="5"/>
      <c r="G13" s="8">
        <v>572259.9</v>
      </c>
      <c r="H13">
        <v>1662384</v>
      </c>
      <c r="I13" s="5"/>
      <c r="J13" s="5"/>
      <c r="K13" s="6"/>
      <c r="L13" s="5"/>
      <c r="M13" s="6">
        <v>220883</v>
      </c>
      <c r="N13">
        <v>331556</v>
      </c>
      <c r="O13">
        <v>188352</v>
      </c>
      <c r="U13" s="17"/>
    </row>
    <row r="14" spans="1:15">
      <c r="A14" t="s">
        <v>39</v>
      </c>
      <c r="B14" s="5">
        <v>726559.5</v>
      </c>
      <c r="C14" s="8"/>
      <c r="D14" s="6"/>
      <c r="E14" s="8"/>
      <c r="F14" s="5"/>
      <c r="G14" s="8">
        <v>570889.7</v>
      </c>
      <c r="H14">
        <v>1629434</v>
      </c>
      <c r="I14" s="5"/>
      <c r="J14" s="5"/>
      <c r="K14" s="6"/>
      <c r="L14" s="5"/>
      <c r="M14" s="6">
        <v>226496</v>
      </c>
      <c r="N14">
        <v>322904</v>
      </c>
      <c r="O14">
        <v>188045</v>
      </c>
    </row>
    <row r="15" spans="1:15">
      <c r="A15" t="s">
        <v>40</v>
      </c>
      <c r="B15" s="5">
        <v>749094.9</v>
      </c>
      <c r="C15" s="8"/>
      <c r="D15" s="6"/>
      <c r="E15" s="8"/>
      <c r="F15" s="5"/>
      <c r="G15" s="8">
        <v>540504.2</v>
      </c>
      <c r="H15">
        <v>1602655</v>
      </c>
      <c r="I15" s="5"/>
      <c r="J15" s="5"/>
      <c r="K15" s="6"/>
      <c r="L15" s="5"/>
      <c r="M15" s="6">
        <v>232109</v>
      </c>
      <c r="N15">
        <v>314253</v>
      </c>
      <c r="O15">
        <v>187738</v>
      </c>
    </row>
    <row r="16" ht="14.6"/>
    <row r="17" ht="14.65" spans="2:19">
      <c r="B17" t="s">
        <v>41</v>
      </c>
      <c r="E17" t="s">
        <v>42</v>
      </c>
      <c r="H17" s="9" t="s">
        <v>43</v>
      </c>
      <c r="I17" s="9" t="s">
        <v>44</v>
      </c>
      <c r="J17" s="9" t="s">
        <v>45</v>
      </c>
      <c r="K17" s="9" t="s">
        <v>46</v>
      </c>
      <c r="L17" s="13" t="s">
        <v>47</v>
      </c>
      <c r="M17" s="14" t="s">
        <v>48</v>
      </c>
      <c r="N17" s="14" t="s">
        <v>49</v>
      </c>
      <c r="O17" s="14" t="s">
        <v>50</v>
      </c>
      <c r="P17" s="14" t="s">
        <v>51</v>
      </c>
      <c r="Q17" s="1" t="s">
        <v>52</v>
      </c>
      <c r="S17" t="s">
        <v>53</v>
      </c>
    </row>
    <row r="18" ht="14.65" spans="1:17">
      <c r="A18" t="s">
        <v>40</v>
      </c>
      <c r="B18">
        <v>29</v>
      </c>
      <c r="H18" s="9" t="s">
        <v>54</v>
      </c>
      <c r="I18" s="9" t="s">
        <v>55</v>
      </c>
      <c r="J18" s="9" t="s">
        <v>56</v>
      </c>
      <c r="K18" s="9" t="s">
        <v>57</v>
      </c>
      <c r="L18" s="13" t="s">
        <v>58</v>
      </c>
      <c r="M18" s="14" t="s">
        <v>59</v>
      </c>
      <c r="N18" t="s">
        <v>60</v>
      </c>
      <c r="O18" t="s">
        <v>61</v>
      </c>
      <c r="P18" t="s">
        <v>62</v>
      </c>
      <c r="Q18">
        <v>15.2484</v>
      </c>
    </row>
    <row r="19" ht="14.65" spans="1:17">
      <c r="A19" t="s">
        <v>39</v>
      </c>
      <c r="B19">
        <v>29</v>
      </c>
      <c r="H19" s="9" t="s">
        <v>63</v>
      </c>
      <c r="I19" s="9" t="s">
        <v>64</v>
      </c>
      <c r="J19" s="9" t="s">
        <v>65</v>
      </c>
      <c r="K19" s="9" t="s">
        <v>66</v>
      </c>
      <c r="L19" s="13" t="s">
        <v>67</v>
      </c>
      <c r="M19" t="s">
        <v>68</v>
      </c>
      <c r="N19" t="s">
        <v>69</v>
      </c>
      <c r="O19" t="s">
        <v>70</v>
      </c>
      <c r="P19" t="s">
        <v>71</v>
      </c>
      <c r="Q19">
        <v>15.1697</v>
      </c>
    </row>
    <row r="20" ht="14.65" spans="1:17">
      <c r="A20" s="10" t="s">
        <v>38</v>
      </c>
      <c r="B20" s="11">
        <v>29</v>
      </c>
      <c r="D20">
        <v>1995</v>
      </c>
      <c r="E20">
        <v>334368</v>
      </c>
      <c r="H20" s="9" t="s">
        <v>72</v>
      </c>
      <c r="I20" s="9" t="s">
        <v>73</v>
      </c>
      <c r="J20" s="9" t="s">
        <v>74</v>
      </c>
      <c r="K20" s="9" t="s">
        <v>75</v>
      </c>
      <c r="L20" s="13" t="s">
        <v>76</v>
      </c>
      <c r="M20" t="s">
        <v>77</v>
      </c>
      <c r="N20" t="s">
        <v>78</v>
      </c>
      <c r="O20" t="s">
        <v>79</v>
      </c>
      <c r="P20" t="s">
        <v>80</v>
      </c>
      <c r="Q20">
        <v>15.2071</v>
      </c>
    </row>
    <row r="21" ht="14.65" spans="1:17">
      <c r="A21" s="12">
        <v>2023</v>
      </c>
      <c r="B21" s="12">
        <v>29.8</v>
      </c>
      <c r="D21">
        <v>1996</v>
      </c>
      <c r="E21">
        <v>327036</v>
      </c>
      <c r="H21" s="9" t="s">
        <v>81</v>
      </c>
      <c r="I21" s="9" t="s">
        <v>82</v>
      </c>
      <c r="J21" s="9" t="s">
        <v>83</v>
      </c>
      <c r="K21" s="9" t="s">
        <v>84</v>
      </c>
      <c r="L21" s="13" t="s">
        <v>85</v>
      </c>
      <c r="M21" t="s">
        <v>86</v>
      </c>
      <c r="N21" t="s">
        <v>87</v>
      </c>
      <c r="O21" t="s">
        <v>88</v>
      </c>
      <c r="P21" t="s">
        <v>89</v>
      </c>
      <c r="Q21">
        <v>15.1852</v>
      </c>
    </row>
    <row r="22" ht="14.65" spans="1:17">
      <c r="A22" s="11">
        <v>2022</v>
      </c>
      <c r="B22" s="11">
        <v>30.5</v>
      </c>
      <c r="D22">
        <v>1997</v>
      </c>
      <c r="E22">
        <v>320591</v>
      </c>
      <c r="H22" s="9" t="s">
        <v>90</v>
      </c>
      <c r="I22" s="9" t="s">
        <v>91</v>
      </c>
      <c r="J22" s="9" t="s">
        <v>92</v>
      </c>
      <c r="K22" s="9" t="s">
        <v>93</v>
      </c>
      <c r="L22" s="13" t="s">
        <v>94</v>
      </c>
      <c r="M22" t="s">
        <v>95</v>
      </c>
      <c r="N22" t="s">
        <v>96</v>
      </c>
      <c r="O22" t="s">
        <v>97</v>
      </c>
      <c r="P22" t="s">
        <v>98</v>
      </c>
      <c r="Q22">
        <v>15.0664</v>
      </c>
    </row>
    <row r="23" ht="14.65" spans="1:17">
      <c r="A23" s="12">
        <v>2021</v>
      </c>
      <c r="B23" s="12">
        <v>29.8</v>
      </c>
      <c r="D23">
        <v>1998</v>
      </c>
      <c r="E23">
        <v>312226</v>
      </c>
      <c r="H23" s="9" t="s">
        <v>99</v>
      </c>
      <c r="I23" s="9" t="s">
        <v>100</v>
      </c>
      <c r="J23" s="9" t="s">
        <v>101</v>
      </c>
      <c r="K23" s="9" t="s">
        <v>102</v>
      </c>
      <c r="L23" s="13" t="s">
        <v>103</v>
      </c>
      <c r="M23" t="s">
        <v>104</v>
      </c>
      <c r="N23" t="s">
        <v>105</v>
      </c>
      <c r="O23" t="s">
        <v>106</v>
      </c>
      <c r="P23" t="s">
        <v>107</v>
      </c>
      <c r="Q23">
        <v>14.8433</v>
      </c>
    </row>
    <row r="24" ht="14.65" spans="1:17">
      <c r="A24" s="11">
        <v>2020</v>
      </c>
      <c r="B24" s="11">
        <v>30.2</v>
      </c>
      <c r="D24">
        <v>1999</v>
      </c>
      <c r="E24">
        <v>283832</v>
      </c>
      <c r="H24" s="9" t="s">
        <v>108</v>
      </c>
      <c r="I24" s="9" t="s">
        <v>109</v>
      </c>
      <c r="J24" s="9" t="s">
        <v>110</v>
      </c>
      <c r="K24" s="9" t="s">
        <v>111</v>
      </c>
      <c r="L24" s="13" t="s">
        <v>112</v>
      </c>
      <c r="M24" t="s">
        <v>113</v>
      </c>
      <c r="N24" t="s">
        <v>114</v>
      </c>
      <c r="O24" t="s">
        <v>115</v>
      </c>
      <c r="P24" t="s">
        <v>116</v>
      </c>
      <c r="Q24">
        <v>14.7879</v>
      </c>
    </row>
    <row r="25" ht="14.65" spans="1:17">
      <c r="A25" s="12">
        <v>2019</v>
      </c>
      <c r="B25" s="12">
        <v>28.2</v>
      </c>
      <c r="D25">
        <v>2000</v>
      </c>
      <c r="E25">
        <v>270874</v>
      </c>
      <c r="H25" s="9" t="s">
        <v>117</v>
      </c>
      <c r="I25" s="9" t="s">
        <v>118</v>
      </c>
      <c r="J25" s="9" t="s">
        <v>119</v>
      </c>
      <c r="K25" s="9" t="s">
        <v>120</v>
      </c>
      <c r="L25" s="13" t="s">
        <v>121</v>
      </c>
      <c r="M25" t="s">
        <v>122</v>
      </c>
      <c r="N25" t="s">
        <v>123</v>
      </c>
      <c r="O25" t="s">
        <v>124</v>
      </c>
      <c r="P25" t="s">
        <v>125</v>
      </c>
      <c r="Q25">
        <v>14.8826</v>
      </c>
    </row>
    <row r="26" ht="15" spans="1:17">
      <c r="A26" s="11">
        <v>2018</v>
      </c>
      <c r="B26" s="11">
        <v>28.4</v>
      </c>
      <c r="D26">
        <v>2001</v>
      </c>
      <c r="E26">
        <v>235714</v>
      </c>
      <c r="P26" s="15" t="s">
        <v>126</v>
      </c>
      <c r="Q26">
        <v>-0.008395</v>
      </c>
    </row>
    <row r="27" ht="15" spans="1:17">
      <c r="A27" s="12">
        <v>2017</v>
      </c>
      <c r="B27" s="12">
        <v>29.3</v>
      </c>
      <c r="D27">
        <v>2002</v>
      </c>
      <c r="E27">
        <v>224050</v>
      </c>
      <c r="P27" s="15" t="s">
        <v>127</v>
      </c>
      <c r="Q27">
        <v>17.37583</v>
      </c>
    </row>
    <row r="28" spans="1:17">
      <c r="A28" s="11">
        <v>2016</v>
      </c>
      <c r="B28" s="11">
        <v>30.1</v>
      </c>
      <c r="D28">
        <v>2003</v>
      </c>
      <c r="E28">
        <v>196018</v>
      </c>
      <c r="P28" t="s">
        <v>128</v>
      </c>
      <c r="Q28">
        <v>-0.387744</v>
      </c>
    </row>
    <row r="29" spans="1:5">
      <c r="A29" s="12">
        <v>2015</v>
      </c>
      <c r="B29" s="12">
        <v>30.6</v>
      </c>
      <c r="D29">
        <v>2004</v>
      </c>
      <c r="E29">
        <v>200158</v>
      </c>
    </row>
    <row r="30" spans="1:5">
      <c r="A30" s="11">
        <v>2014</v>
      </c>
      <c r="B30" s="11">
        <v>30.8</v>
      </c>
      <c r="D30">
        <v>2005</v>
      </c>
      <c r="E30">
        <v>214292</v>
      </c>
    </row>
    <row r="31" spans="1:5">
      <c r="A31" s="12">
        <v>2013</v>
      </c>
      <c r="B31" s="12">
        <v>30.9</v>
      </c>
      <c r="D31">
        <v>2006</v>
      </c>
      <c r="E31">
        <v>208854</v>
      </c>
    </row>
    <row r="32" spans="4:5">
      <c r="D32">
        <v>2007</v>
      </c>
      <c r="E32">
        <v>206101</v>
      </c>
    </row>
    <row r="33" spans="4:5">
      <c r="D33">
        <v>2008</v>
      </c>
      <c r="E33">
        <v>181824</v>
      </c>
    </row>
    <row r="34" spans="4:5">
      <c r="D34">
        <v>2009</v>
      </c>
      <c r="E34">
        <v>183275</v>
      </c>
    </row>
    <row r="35" spans="4:5">
      <c r="D35">
        <v>2010</v>
      </c>
      <c r="E35">
        <v>215452</v>
      </c>
    </row>
    <row r="36" spans="4:5">
      <c r="D36">
        <v>2011</v>
      </c>
      <c r="E36">
        <v>179536</v>
      </c>
    </row>
    <row r="37" spans="4:5">
      <c r="D37">
        <v>2012</v>
      </c>
      <c r="E37">
        <v>157597</v>
      </c>
    </row>
    <row r="38" spans="4:5">
      <c r="D38">
        <v>2013</v>
      </c>
      <c r="E38">
        <v>147468</v>
      </c>
    </row>
    <row r="39" spans="4:5">
      <c r="D39">
        <v>2014</v>
      </c>
      <c r="E39">
        <v>182207</v>
      </c>
    </row>
    <row r="40" spans="4:5">
      <c r="D40">
        <v>2015</v>
      </c>
      <c r="E40">
        <v>161618</v>
      </c>
    </row>
    <row r="41" spans="4:5">
      <c r="D41">
        <v>2016</v>
      </c>
      <c r="E41">
        <v>151683</v>
      </c>
    </row>
    <row r="42" spans="4:5">
      <c r="D42">
        <v>2017</v>
      </c>
      <c r="E42">
        <v>183698</v>
      </c>
    </row>
    <row r="43" spans="4:5">
      <c r="D43">
        <v>2018</v>
      </c>
      <c r="E43">
        <v>179900</v>
      </c>
    </row>
    <row r="44" spans="4:5">
      <c r="D44">
        <v>2019</v>
      </c>
      <c r="E44">
        <v>163200</v>
      </c>
    </row>
    <row r="45" spans="4:5">
      <c r="D45">
        <v>2020</v>
      </c>
      <c r="E45">
        <v>116600</v>
      </c>
    </row>
    <row r="46" spans="4:5">
      <c r="D46">
        <v>2021</v>
      </c>
      <c r="E46">
        <v>112200</v>
      </c>
    </row>
    <row r="47" spans="4:5">
      <c r="D47">
        <v>2022</v>
      </c>
      <c r="E47">
        <v>102300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48CD9-CB4B-4D49-BDEE-2154210B67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 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Monk</dc:creator>
  <cp:lastModifiedBy>洪俊杰</cp:lastModifiedBy>
  <dcterms:created xsi:type="dcterms:W3CDTF">2025-05-01T13:17:00Z</dcterms:created>
  <dcterms:modified xsi:type="dcterms:W3CDTF">2025-05-03T01:23:28Z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800751C24B914876BD8A84804F3B0A1C_12</vt:lpwstr>
  </property>
  <property fmtid="{D5CDD505-2E9C-101B-9397-08002B2CF9AE}" pid="3" name="KSOProductBuildVer">
    <vt:lpwstr>2052-12.1.0.20784</vt:lpwstr>
  </property>
</Properties>
</file>